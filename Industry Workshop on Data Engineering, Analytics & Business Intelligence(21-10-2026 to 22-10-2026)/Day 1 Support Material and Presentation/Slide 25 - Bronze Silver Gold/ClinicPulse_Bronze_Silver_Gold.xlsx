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namansharma/Downloads/KR Mangalam 3-Day Workshop (21-23 October 2026)/Day 1/Slide 25 - Bronze Silver Gold/"/>
    </mc:Choice>
  </mc:AlternateContent>
  <xr:revisionPtr revIDLastSave="0" documentId="13_ncr:1_{DF837785-0D48-AD4A-BEB8-ADB6E69AB1E2}" xr6:coauthVersionLast="47" xr6:coauthVersionMax="47" xr10:uidLastSave="{00000000-0000-0000-0000-000000000000}"/>
  <bookViews>
    <workbookView xWindow="4420" yWindow="660" windowWidth="24980" windowHeight="16820" activeTab="2" xr2:uid="{00000000-000D-0000-FFFF-FFFF00000000}"/>
  </bookViews>
  <sheets>
    <sheet name="Bronze" sheetId="1" r:id="rId1"/>
    <sheet name="Silver" sheetId="2" r:id="rId2"/>
    <sheet name="Gol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3" i="3"/>
  <c r="B12" i="3"/>
  <c r="B10" i="3"/>
  <c r="E9" i="3"/>
  <c r="B9" i="3"/>
  <c r="E8" i="3"/>
  <c r="B8" i="3"/>
  <c r="B11" i="3" s="1"/>
  <c r="E7" i="3"/>
  <c r="B7" i="3"/>
</calcChain>
</file>

<file path=xl/sharedStrings.xml><?xml version="1.0" encoding="utf-8"?>
<sst xmlns="http://schemas.openxmlformats.org/spreadsheetml/2006/main" count="205" uniqueCount="82">
  <si>
    <t>BRONZE  |  Raw source snapshot</t>
  </si>
  <si>
    <t>Source: ClinicPulse Reception Export   •   8 rows ingested   •   Original values retained</t>
  </si>
  <si>
    <t>INGESTED APPOINTMENTS — BEFORE VALIDATION</t>
  </si>
  <si>
    <t>WHAT TO SPOT</t>
  </si>
  <si>
    <t>appointment_id</t>
  </si>
  <si>
    <t>patient_id</t>
  </si>
  <si>
    <t>doctor_id</t>
  </si>
  <si>
    <t>appointment_date</t>
  </si>
  <si>
    <t>status</t>
  </si>
  <si>
    <t>charge</t>
  </si>
  <si>
    <t>A101</t>
  </si>
  <si>
    <t>P01</t>
  </si>
  <si>
    <t>D02</t>
  </si>
  <si>
    <t>completed</t>
  </si>
  <si>
    <t>• A106 occurs twice (duplicate)</t>
  </si>
  <si>
    <t>A102</t>
  </si>
  <si>
    <t>P02</t>
  </si>
  <si>
    <t>D01</t>
  </si>
  <si>
    <t>cancelled</t>
  </si>
  <si>
    <t>• A107 is missing patient_id</t>
  </si>
  <si>
    <t>A103</t>
  </si>
  <si>
    <t>P03</t>
  </si>
  <si>
    <t>Completed</t>
  </si>
  <si>
    <t>• A107 has invalid status 'done'</t>
  </si>
  <si>
    <t>A104</t>
  </si>
  <si>
    <t>P04</t>
  </si>
  <si>
    <t>D03</t>
  </si>
  <si>
    <t>• Status text has mixed formatting</t>
  </si>
  <si>
    <t>A105</t>
  </si>
  <si>
    <t>P05</t>
  </si>
  <si>
    <t>no show</t>
  </si>
  <si>
    <t>• Don't report KPIs directly from Bronze</t>
  </si>
  <si>
    <t>A106</t>
  </si>
  <si>
    <t>A107</t>
  </si>
  <si>
    <t>done</t>
  </si>
  <si>
    <t>SILVER  |  Clean and validated</t>
  </si>
  <si>
    <t>6 valid appointments   •   1 duplicate removed   •   1 invalid record excluded   •   Doctor lookup applied</t>
  </si>
  <si>
    <t>CLEANED &amp; ENRICHED APPOINTMENTS</t>
  </si>
  <si>
    <t>doctor_name</t>
  </si>
  <si>
    <t>specialization</t>
  </si>
  <si>
    <t>Dr. Kabir Sethi</t>
  </si>
  <si>
    <t>General Medicine</t>
  </si>
  <si>
    <t>Dr. Isha Mehta</t>
  </si>
  <si>
    <t>Cardiology</t>
  </si>
  <si>
    <t>Dr. Riya Kapoor</t>
  </si>
  <si>
    <t>Orthopedics</t>
  </si>
  <si>
    <t>no-show</t>
  </si>
  <si>
    <t>CLEANED BILLING REFERENCE (FOR GOLD KPIs)</t>
  </si>
  <si>
    <t>TRANSFORMATION RULES</t>
  </si>
  <si>
    <t>bill_id</t>
  </si>
  <si>
    <t>amount_inr</t>
  </si>
  <si>
    <t>payment_status</t>
  </si>
  <si>
    <t>1  Remove duplicate appointment A106</t>
  </si>
  <si>
    <t>B201</t>
  </si>
  <si>
    <t>paid</t>
  </si>
  <si>
    <t>2  Exclude A107 (missing ID / invalid status)</t>
  </si>
  <si>
    <t>B202</t>
  </si>
  <si>
    <t>void</t>
  </si>
  <si>
    <t>3  Standardize case and 'no show' → 'no-show'</t>
  </si>
  <si>
    <t>B203</t>
  </si>
  <si>
    <t>4  Link doctor ID to specialty and doctor name</t>
  </si>
  <si>
    <t>B204</t>
  </si>
  <si>
    <t>B205</t>
  </si>
  <si>
    <t>not charged</t>
  </si>
  <si>
    <t>B206</t>
  </si>
  <si>
    <t>pending</t>
  </si>
  <si>
    <t>Silver is now safe to analyze; the Gold tab calculates KPIs from these validated records.</t>
  </si>
  <si>
    <t>GOLD  |  Business-ready insights</t>
  </si>
  <si>
    <t>Live KPIs calculated from the Silver tab   •   Appointment performance &amp; doctor workload</t>
  </si>
  <si>
    <t>HOSPITAL OPERATIONS KPIs</t>
  </si>
  <si>
    <t>APPOINTMENTS BY SPECIALIZATION</t>
  </si>
  <si>
    <t>metric</t>
  </si>
  <si>
    <t>value</t>
  </si>
  <si>
    <t>appointments</t>
  </si>
  <si>
    <t>Total valid appointments</t>
  </si>
  <si>
    <t>Cancelled</t>
  </si>
  <si>
    <t>No-show</t>
  </si>
  <si>
    <t>Completion rate (%)</t>
  </si>
  <si>
    <t>Total charges (INR)</t>
  </si>
  <si>
    <t>Paid charges (INR)</t>
  </si>
  <si>
    <t>Pending charges (INR)</t>
  </si>
  <si>
    <t>Gold is a report, not a raw table: it answers business questions using cleaned, validated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</si>
</sst>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&quot;₹&quot;#,##0"/>
    <numFmt numFmtId="166" formatCode="0.0%"/>
  </numFmts>
  <fonts count="6">
    <font>
      <sz val="11"/>
      <name val="Carlito"/>
    </font>
    <font>
      <b/>
      <sz val="18"/>
      <color rgb="FFFFFFFF"/>
      <name val="Carlito"/>
    </font>
    <font>
      <sz val="10"/>
      <color rgb="FF263645"/>
      <name val="Carlito"/>
    </font>
    <font>
      <b/>
      <sz val="11"/>
      <color rgb="FFFFFFFF"/>
      <name val="Carlito"/>
    </font>
    <font>
      <b/>
      <sz val="10"/>
      <color rgb="FF203447"/>
      <name val="Carlito"/>
    </font>
    <font>
      <b/>
      <sz val="10"/>
      <color rgb="FF263645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A46B2B"/>
      </patternFill>
    </fill>
    <fill>
      <patternFill patternType="solid">
        <fgColor rgb="FFF4F8FA"/>
      </patternFill>
    </fill>
    <fill>
      <patternFill patternType="solid">
        <fgColor rgb="FFFFF4E4"/>
      </patternFill>
    </fill>
    <fill>
      <patternFill patternType="solid">
        <fgColor rgb="FFFFF1E8"/>
      </patternFill>
    </fill>
    <fill>
      <patternFill patternType="solid">
        <fgColor rgb="FFFAFCFD"/>
      </patternFill>
    </fill>
    <fill>
      <patternFill patternType="solid">
        <fgColor rgb="FF657584"/>
      </patternFill>
    </fill>
    <fill>
      <patternFill patternType="solid">
        <fgColor rgb="FFEDF2F6"/>
      </patternFill>
    </fill>
    <fill>
      <patternFill patternType="solid">
        <fgColor rgb="FFE7F5F1"/>
      </patternFill>
    </fill>
    <fill>
      <patternFill patternType="solid">
        <fgColor rgb="FFB07A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4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2" fillId="5" borderId="0" xfId="0" applyFont="1" applyFill="1" applyAlignment="1">
      <alignment vertical="center"/>
    </xf>
    <xf numFmtId="164" fontId="2" fillId="5" borderId="0" xfId="0" applyNumberFormat="1" applyFont="1" applyFill="1" applyAlignment="1">
      <alignment vertical="center"/>
    </xf>
    <xf numFmtId="165" fontId="2" fillId="5" borderId="0" xfId="0" applyNumberFormat="1" applyFont="1" applyFill="1" applyAlignment="1">
      <alignment vertical="center"/>
    </xf>
    <xf numFmtId="0" fontId="4" fillId="8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2" fillId="9" borderId="0" xfId="0" applyFont="1" applyFill="1" applyAlignment="1">
      <alignment vertical="center"/>
    </xf>
    <xf numFmtId="166" fontId="5" fillId="9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2" fillId="6" borderId="0" xfId="0" applyFont="1" applyFill="1" applyAlignment="1">
      <alignment wrapText="1"/>
    </xf>
    <xf numFmtId="0" fontId="1" fillId="7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3" fillId="7" borderId="0" xfId="0" applyFont="1" applyFill="1"/>
    <xf numFmtId="0" fontId="4" fillId="9" borderId="0" xfId="0" applyFont="1" applyFill="1"/>
    <xf numFmtId="0" fontId="1" fillId="10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4" fillId="4" borderId="0" xfId="0" applyFont="1" applyFill="1" applyAlignment="1">
      <alignment wrapText="1"/>
    </xf>
  </cellXfs>
  <cellStyles count="1">
    <cellStyle name="Normal" xfId="0" builtinId="0"/>
  </cellStyles>
  <dxfs count="3">
    <dxf>
      <fill>
        <patternFill patternType="solid">
          <bgColor rgb="FFFFF1D7"/>
        </patternFill>
      </fill>
    </dxf>
    <dxf>
      <fill>
        <patternFill patternType="solid">
          <bgColor rgb="FFFFE8E7"/>
        </patternFill>
      </fill>
    </dxf>
    <dxf>
      <fill>
        <patternFill patternType="solid">
          <bgColor rgb="FFE4F4E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Appointment volume by specialty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appointments</c:v>
          </c:tx>
          <c:invertIfNegative val="1"/>
          <c:cat>
            <c:strRef>
              <c:f>Gold!$D$7:$D$9</c:f>
              <c:strCache>
                <c:ptCount val="3"/>
                <c:pt idx="0">
                  <c:v>Cardiology</c:v>
                </c:pt>
                <c:pt idx="1">
                  <c:v>General Medicine</c:v>
                </c:pt>
                <c:pt idx="2">
                  <c:v>Orthopedics</c:v>
                </c:pt>
              </c:strCache>
            </c:strRef>
          </c:cat>
          <c:val>
            <c:numRef>
              <c:f>Gold!$E$7:$E$9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6-CC40-829F-A13F61916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zoomScale="111" workbookViewId="0">
      <pane ySplit="6" topLeftCell="A7" activePane="bottomLeft" state="frozen"/>
      <selection pane="bottomLeft" activeCell="D20" sqref="D20"/>
    </sheetView>
  </sheetViews>
  <sheetFormatPr baseColWidth="10" defaultColWidth="8.83203125" defaultRowHeight="14"/>
  <cols>
    <col min="1" max="1" width="20" customWidth="1"/>
    <col min="2" max="3" width="17" customWidth="1"/>
    <col min="4" max="4" width="22" customWidth="1"/>
    <col min="5" max="5" width="19" customWidth="1"/>
    <col min="6" max="6" width="16" customWidth="1"/>
    <col min="7" max="7" width="3" customWidth="1"/>
    <col min="8" max="8" width="23" customWidth="1"/>
    <col min="9" max="11" width="13" customWidth="1"/>
  </cols>
  <sheetData>
    <row r="1" spans="1:11" ht="24" customHeight="1">
      <c r="A1" s="13" t="s">
        <v>0</v>
      </c>
      <c r="B1" s="13" t="s">
        <v>0</v>
      </c>
      <c r="C1" s="13" t="s">
        <v>0</v>
      </c>
      <c r="D1" s="13" t="s">
        <v>0</v>
      </c>
      <c r="E1" s="13" t="s">
        <v>0</v>
      </c>
      <c r="F1" s="13" t="s">
        <v>0</v>
      </c>
      <c r="G1" s="13" t="s">
        <v>0</v>
      </c>
      <c r="H1" s="13" t="s">
        <v>0</v>
      </c>
      <c r="I1" s="13" t="s">
        <v>0</v>
      </c>
      <c r="J1" s="13" t="s">
        <v>0</v>
      </c>
      <c r="K1" s="13" t="s">
        <v>0</v>
      </c>
    </row>
    <row r="2" spans="1:11" ht="24" customHeight="1">
      <c r="A2" s="13" t="s">
        <v>0</v>
      </c>
      <c r="B2" s="13" t="s">
        <v>0</v>
      </c>
      <c r="C2" s="13" t="s">
        <v>0</v>
      </c>
      <c r="D2" s="13" t="s">
        <v>0</v>
      </c>
      <c r="E2" s="13" t="s">
        <v>0</v>
      </c>
      <c r="F2" s="13" t="s">
        <v>0</v>
      </c>
      <c r="G2" s="13" t="s">
        <v>0</v>
      </c>
      <c r="H2" s="13" t="s">
        <v>0</v>
      </c>
      <c r="I2" s="13" t="s">
        <v>0</v>
      </c>
      <c r="J2" s="13" t="s">
        <v>0</v>
      </c>
      <c r="K2" s="13" t="s">
        <v>0</v>
      </c>
    </row>
    <row r="3" spans="1:11" ht="26" customHeight="1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5" spans="1:11" ht="26" customHeight="1">
      <c r="A5" s="15" t="s">
        <v>2</v>
      </c>
      <c r="B5" s="15"/>
      <c r="C5" s="15"/>
      <c r="D5" s="15"/>
      <c r="E5" s="15"/>
      <c r="F5" s="15"/>
      <c r="H5" s="16" t="s">
        <v>3</v>
      </c>
      <c r="I5" s="16"/>
      <c r="J5" s="16"/>
      <c r="K5" s="16"/>
    </row>
    <row r="6" spans="1:11" ht="29" customHeight="1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</row>
    <row r="7" spans="1:11" ht="29" customHeight="1">
      <c r="A7" s="2" t="s">
        <v>10</v>
      </c>
      <c r="B7" s="2" t="s">
        <v>11</v>
      </c>
      <c r="C7" s="2" t="s">
        <v>12</v>
      </c>
      <c r="D7" s="3">
        <v>46313</v>
      </c>
      <c r="E7" s="2" t="s">
        <v>13</v>
      </c>
      <c r="F7" s="4">
        <v>500</v>
      </c>
      <c r="H7" s="17" t="s">
        <v>14</v>
      </c>
      <c r="I7" s="17"/>
      <c r="J7" s="17"/>
      <c r="K7" s="17"/>
    </row>
    <row r="8" spans="1:11" ht="29" customHeight="1">
      <c r="A8" s="2" t="s">
        <v>15</v>
      </c>
      <c r="B8" s="2" t="s">
        <v>16</v>
      </c>
      <c r="C8" s="2" t="s">
        <v>17</v>
      </c>
      <c r="D8" s="3">
        <v>46313</v>
      </c>
      <c r="E8" s="2" t="s">
        <v>18</v>
      </c>
      <c r="F8" s="4">
        <v>0</v>
      </c>
      <c r="H8" s="17" t="s">
        <v>19</v>
      </c>
      <c r="I8" s="17"/>
      <c r="J8" s="17"/>
      <c r="K8" s="17"/>
    </row>
    <row r="9" spans="1:11" ht="29" customHeight="1">
      <c r="A9" s="2" t="s">
        <v>20</v>
      </c>
      <c r="B9" s="2" t="s">
        <v>21</v>
      </c>
      <c r="C9" s="2" t="s">
        <v>12</v>
      </c>
      <c r="D9" s="3">
        <v>46314</v>
      </c>
      <c r="E9" s="2" t="s">
        <v>22</v>
      </c>
      <c r="F9" s="4">
        <v>500</v>
      </c>
      <c r="H9" s="17" t="s">
        <v>23</v>
      </c>
      <c r="I9" s="17"/>
      <c r="J9" s="17"/>
      <c r="K9" s="17"/>
    </row>
    <row r="10" spans="1:11" ht="29" customHeight="1">
      <c r="A10" s="2" t="s">
        <v>24</v>
      </c>
      <c r="B10" s="2" t="s">
        <v>25</v>
      </c>
      <c r="C10" s="2" t="s">
        <v>26</v>
      </c>
      <c r="D10" s="3">
        <v>46314</v>
      </c>
      <c r="E10" s="2" t="s">
        <v>13</v>
      </c>
      <c r="F10" s="4">
        <v>700</v>
      </c>
      <c r="H10" s="17" t="s">
        <v>27</v>
      </c>
      <c r="I10" s="17"/>
      <c r="J10" s="17"/>
      <c r="K10" s="17"/>
    </row>
    <row r="11" spans="1:11" ht="29" customHeight="1">
      <c r="A11" s="2" t="s">
        <v>28</v>
      </c>
      <c r="B11" s="2" t="s">
        <v>29</v>
      </c>
      <c r="C11" s="2" t="s">
        <v>17</v>
      </c>
      <c r="D11" s="3">
        <v>46315</v>
      </c>
      <c r="E11" s="2" t="s">
        <v>30</v>
      </c>
      <c r="F11" s="4">
        <v>0</v>
      </c>
      <c r="H11" s="17" t="s">
        <v>31</v>
      </c>
      <c r="I11" s="17"/>
      <c r="J11" s="17"/>
      <c r="K11" s="17"/>
    </row>
    <row r="12" spans="1:11" ht="26" customHeight="1">
      <c r="A12" s="2" t="s">
        <v>32</v>
      </c>
      <c r="B12" s="2" t="s">
        <v>16</v>
      </c>
      <c r="C12" s="2" t="s">
        <v>17</v>
      </c>
      <c r="D12" s="3">
        <v>46315</v>
      </c>
      <c r="E12" s="2" t="s">
        <v>13</v>
      </c>
      <c r="F12" s="4">
        <v>850</v>
      </c>
    </row>
    <row r="13" spans="1:11" ht="26" customHeight="1">
      <c r="A13" s="5" t="s">
        <v>32</v>
      </c>
      <c r="B13" s="5" t="s">
        <v>16</v>
      </c>
      <c r="C13" s="5" t="s">
        <v>17</v>
      </c>
      <c r="D13" s="6">
        <v>46315</v>
      </c>
      <c r="E13" s="5" t="s">
        <v>13</v>
      </c>
      <c r="F13" s="7">
        <v>850</v>
      </c>
    </row>
    <row r="14" spans="1:11" ht="26" customHeight="1">
      <c r="A14" s="5" t="s">
        <v>33</v>
      </c>
      <c r="B14" s="5"/>
      <c r="C14" s="5" t="s">
        <v>26</v>
      </c>
      <c r="D14" s="6">
        <v>46315</v>
      </c>
      <c r="E14" s="5" t="s">
        <v>34</v>
      </c>
      <c r="F14" s="7">
        <v>700</v>
      </c>
    </row>
  </sheetData>
  <mergeCells count="9">
    <mergeCell ref="H8:K8"/>
    <mergeCell ref="H9:K9"/>
    <mergeCell ref="H10:K10"/>
    <mergeCell ref="H11:K11"/>
    <mergeCell ref="A1:K2"/>
    <mergeCell ref="A3:K3"/>
    <mergeCell ref="A5:F5"/>
    <mergeCell ref="H5:K5"/>
    <mergeCell ref="H7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workbookViewId="0">
      <pane ySplit="6" topLeftCell="A17" activePane="bottomLeft" state="frozen"/>
      <selection pane="bottomLeft" activeCell="A26" sqref="A26:H26"/>
    </sheetView>
  </sheetViews>
  <sheetFormatPr baseColWidth="10" defaultColWidth="8.83203125" defaultRowHeight="14"/>
  <cols>
    <col min="1" max="1" width="20" customWidth="1"/>
    <col min="2" max="2" width="17" customWidth="1"/>
    <col min="3" max="3" width="18" customWidth="1"/>
    <col min="4" max="5" width="23" customWidth="1"/>
    <col min="6" max="6" width="21" customWidth="1"/>
    <col min="7" max="7" width="18" customWidth="1"/>
    <col min="8" max="8" width="19" customWidth="1"/>
  </cols>
  <sheetData>
    <row r="1" spans="1:11" ht="24" customHeight="1">
      <c r="A1" s="18" t="s">
        <v>35</v>
      </c>
      <c r="B1" s="18" t="s">
        <v>35</v>
      </c>
      <c r="C1" s="18" t="s">
        <v>35</v>
      </c>
      <c r="D1" s="18" t="s">
        <v>35</v>
      </c>
      <c r="E1" s="18" t="s">
        <v>35</v>
      </c>
      <c r="F1" s="18" t="s">
        <v>35</v>
      </c>
      <c r="G1" s="18" t="s">
        <v>35</v>
      </c>
      <c r="H1" s="18" t="s">
        <v>35</v>
      </c>
      <c r="I1" s="18" t="s">
        <v>35</v>
      </c>
      <c r="J1" s="18" t="s">
        <v>35</v>
      </c>
      <c r="K1" s="18" t="s">
        <v>35</v>
      </c>
    </row>
    <row r="2" spans="1:11" ht="24" customHeight="1">
      <c r="A2" s="18" t="s">
        <v>35</v>
      </c>
      <c r="B2" s="18" t="s">
        <v>35</v>
      </c>
      <c r="C2" s="18" t="s">
        <v>35</v>
      </c>
      <c r="D2" s="18" t="s">
        <v>35</v>
      </c>
      <c r="E2" s="18" t="s">
        <v>35</v>
      </c>
      <c r="F2" s="18" t="s">
        <v>35</v>
      </c>
      <c r="G2" s="18" t="s">
        <v>35</v>
      </c>
      <c r="H2" s="18" t="s">
        <v>35</v>
      </c>
      <c r="I2" s="18" t="s">
        <v>35</v>
      </c>
      <c r="J2" s="18" t="s">
        <v>35</v>
      </c>
      <c r="K2" s="18" t="s">
        <v>35</v>
      </c>
    </row>
    <row r="3" spans="1:11" ht="26" customHeight="1">
      <c r="A3" s="14" t="s">
        <v>36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5" spans="1:11" ht="26" customHeight="1">
      <c r="A5" s="19" t="s">
        <v>37</v>
      </c>
      <c r="B5" s="19"/>
      <c r="C5" s="19"/>
      <c r="D5" s="19"/>
      <c r="E5" s="19"/>
      <c r="F5" s="19"/>
      <c r="G5" s="19"/>
      <c r="H5" s="19"/>
    </row>
    <row r="6" spans="1:11" ht="29" customHeight="1">
      <c r="A6" s="8" t="s">
        <v>4</v>
      </c>
      <c r="B6" s="8" t="s">
        <v>5</v>
      </c>
      <c r="C6" s="8" t="s">
        <v>6</v>
      </c>
      <c r="D6" s="8" t="s">
        <v>38</v>
      </c>
      <c r="E6" s="8" t="s">
        <v>39</v>
      </c>
      <c r="F6" s="8" t="s">
        <v>7</v>
      </c>
      <c r="G6" s="8" t="s">
        <v>8</v>
      </c>
      <c r="H6" s="8" t="s">
        <v>9</v>
      </c>
    </row>
    <row r="7" spans="1:11" ht="26" customHeight="1">
      <c r="A7" s="2" t="s">
        <v>10</v>
      </c>
      <c r="B7" s="2" t="s">
        <v>11</v>
      </c>
      <c r="C7" s="2" t="s">
        <v>12</v>
      </c>
      <c r="D7" s="2" t="s">
        <v>40</v>
      </c>
      <c r="E7" s="2" t="s">
        <v>41</v>
      </c>
      <c r="F7" s="3">
        <v>46313</v>
      </c>
      <c r="G7" s="2" t="s">
        <v>13</v>
      </c>
      <c r="H7" s="4">
        <v>500</v>
      </c>
    </row>
    <row r="8" spans="1:11" ht="26" customHeight="1">
      <c r="A8" s="2" t="s">
        <v>15</v>
      </c>
      <c r="B8" s="2" t="s">
        <v>16</v>
      </c>
      <c r="C8" s="2" t="s">
        <v>17</v>
      </c>
      <c r="D8" s="2" t="s">
        <v>42</v>
      </c>
      <c r="E8" s="2" t="s">
        <v>43</v>
      </c>
      <c r="F8" s="3">
        <v>46313</v>
      </c>
      <c r="G8" s="2" t="s">
        <v>18</v>
      </c>
      <c r="H8" s="4">
        <v>0</v>
      </c>
    </row>
    <row r="9" spans="1:11" ht="26" customHeight="1">
      <c r="A9" s="2" t="s">
        <v>20</v>
      </c>
      <c r="B9" s="2" t="s">
        <v>21</v>
      </c>
      <c r="C9" s="2" t="s">
        <v>12</v>
      </c>
      <c r="D9" s="2" t="s">
        <v>40</v>
      </c>
      <c r="E9" s="2" t="s">
        <v>41</v>
      </c>
      <c r="F9" s="3">
        <v>46314</v>
      </c>
      <c r="G9" s="2" t="s">
        <v>13</v>
      </c>
      <c r="H9" s="4">
        <v>500</v>
      </c>
    </row>
    <row r="10" spans="1:11" ht="26" customHeight="1">
      <c r="A10" s="2" t="s">
        <v>24</v>
      </c>
      <c r="B10" s="2" t="s">
        <v>25</v>
      </c>
      <c r="C10" s="2" t="s">
        <v>26</v>
      </c>
      <c r="D10" s="2" t="s">
        <v>44</v>
      </c>
      <c r="E10" s="2" t="s">
        <v>45</v>
      </c>
      <c r="F10" s="3">
        <v>46314</v>
      </c>
      <c r="G10" s="2" t="s">
        <v>13</v>
      </c>
      <c r="H10" s="4">
        <v>700</v>
      </c>
    </row>
    <row r="11" spans="1:11" ht="26" customHeight="1">
      <c r="A11" s="2" t="s">
        <v>28</v>
      </c>
      <c r="B11" s="2" t="s">
        <v>29</v>
      </c>
      <c r="C11" s="2" t="s">
        <v>17</v>
      </c>
      <c r="D11" s="2" t="s">
        <v>42</v>
      </c>
      <c r="E11" s="2" t="s">
        <v>43</v>
      </c>
      <c r="F11" s="3">
        <v>46315</v>
      </c>
      <c r="G11" s="2" t="s">
        <v>46</v>
      </c>
      <c r="H11" s="4">
        <v>0</v>
      </c>
    </row>
    <row r="12" spans="1:11" ht="26" customHeight="1">
      <c r="A12" s="2" t="s">
        <v>32</v>
      </c>
      <c r="B12" s="2" t="s">
        <v>16</v>
      </c>
      <c r="C12" s="2" t="s">
        <v>17</v>
      </c>
      <c r="D12" s="2" t="s">
        <v>42</v>
      </c>
      <c r="E12" s="2" t="s">
        <v>43</v>
      </c>
      <c r="F12" s="3">
        <v>46315</v>
      </c>
      <c r="G12" s="2" t="s">
        <v>13</v>
      </c>
      <c r="H12" s="4">
        <v>850</v>
      </c>
    </row>
    <row r="16" spans="1:11" ht="26" customHeight="1">
      <c r="A16" s="19" t="s">
        <v>47</v>
      </c>
      <c r="B16" s="19"/>
      <c r="C16" s="19"/>
      <c r="D16" s="19"/>
      <c r="F16" s="20" t="s">
        <v>48</v>
      </c>
      <c r="G16" s="20"/>
      <c r="H16" s="20"/>
    </row>
    <row r="17" spans="1:8" ht="32" customHeight="1">
      <c r="A17" s="8" t="s">
        <v>49</v>
      </c>
      <c r="B17" s="8" t="s">
        <v>4</v>
      </c>
      <c r="C17" s="8" t="s">
        <v>50</v>
      </c>
      <c r="D17" s="8" t="s">
        <v>51</v>
      </c>
      <c r="F17" s="17" t="s">
        <v>52</v>
      </c>
      <c r="G17" s="17"/>
      <c r="H17" s="17"/>
    </row>
    <row r="18" spans="1:8" ht="32" customHeight="1">
      <c r="A18" s="2" t="s">
        <v>53</v>
      </c>
      <c r="B18" s="2" t="s">
        <v>10</v>
      </c>
      <c r="C18" s="4">
        <v>500</v>
      </c>
      <c r="D18" s="2" t="s">
        <v>54</v>
      </c>
      <c r="F18" s="17" t="s">
        <v>55</v>
      </c>
      <c r="G18" s="17"/>
      <c r="H18" s="17"/>
    </row>
    <row r="19" spans="1:8" ht="32" customHeight="1">
      <c r="A19" s="2" t="s">
        <v>56</v>
      </c>
      <c r="B19" s="2" t="s">
        <v>15</v>
      </c>
      <c r="C19" s="4">
        <v>0</v>
      </c>
      <c r="D19" s="2" t="s">
        <v>57</v>
      </c>
      <c r="F19" s="17" t="s">
        <v>58</v>
      </c>
      <c r="G19" s="17"/>
      <c r="H19" s="17"/>
    </row>
    <row r="20" spans="1:8" ht="32" customHeight="1">
      <c r="A20" s="2" t="s">
        <v>59</v>
      </c>
      <c r="B20" s="2" t="s">
        <v>20</v>
      </c>
      <c r="C20" s="4">
        <v>500</v>
      </c>
      <c r="D20" s="2" t="s">
        <v>54</v>
      </c>
      <c r="F20" s="17" t="s">
        <v>60</v>
      </c>
      <c r="G20" s="17"/>
      <c r="H20" s="17"/>
    </row>
    <row r="21" spans="1:8" ht="26" customHeight="1">
      <c r="A21" s="2" t="s">
        <v>61</v>
      </c>
      <c r="B21" s="2" t="s">
        <v>24</v>
      </c>
      <c r="C21" s="4">
        <v>700</v>
      </c>
      <c r="D21" s="2" t="s">
        <v>54</v>
      </c>
    </row>
    <row r="22" spans="1:8" ht="26" customHeight="1">
      <c r="A22" s="2" t="s">
        <v>62</v>
      </c>
      <c r="B22" s="2" t="s">
        <v>28</v>
      </c>
      <c r="C22" s="4">
        <v>0</v>
      </c>
      <c r="D22" s="2" t="s">
        <v>63</v>
      </c>
    </row>
    <row r="23" spans="1:8" ht="26" customHeight="1">
      <c r="A23" s="2" t="s">
        <v>64</v>
      </c>
      <c r="B23" s="2" t="s">
        <v>32</v>
      </c>
      <c r="C23" s="4">
        <v>850</v>
      </c>
      <c r="D23" s="2" t="s">
        <v>65</v>
      </c>
    </row>
    <row r="26" spans="1:8" ht="29" customHeight="1">
      <c r="A26" s="21" t="s">
        <v>66</v>
      </c>
      <c r="B26" s="21"/>
      <c r="C26" s="21"/>
      <c r="D26" s="21"/>
      <c r="E26" s="21"/>
      <c r="F26" s="21"/>
      <c r="G26" s="21"/>
      <c r="H26" s="21"/>
    </row>
  </sheetData>
  <mergeCells count="10">
    <mergeCell ref="F17:H17"/>
    <mergeCell ref="F18:H18"/>
    <mergeCell ref="F19:H19"/>
    <mergeCell ref="F20:H20"/>
    <mergeCell ref="A26:H26"/>
    <mergeCell ref="A1:K2"/>
    <mergeCell ref="A3:K3"/>
    <mergeCell ref="A5:H5"/>
    <mergeCell ref="A16:D16"/>
    <mergeCell ref="F16:H16"/>
  </mergeCells>
  <conditionalFormatting sqref="G7:G12">
    <cfRule type="expression" dxfId="2" priority="1">
      <formula>G7="completed"</formula>
    </cfRule>
    <cfRule type="expression" dxfId="1" priority="2">
      <formula>G7="cancelled"</formula>
    </cfRule>
    <cfRule type="expression" dxfId="0" priority="3">
      <formula>G7="no-show"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tabSelected="1" workbookViewId="0">
      <pane ySplit="6" topLeftCell="A7" activePane="bottomLeft" state="frozen"/>
      <selection pane="bottomLeft" sqref="A1:K2"/>
    </sheetView>
  </sheetViews>
  <sheetFormatPr baseColWidth="10" defaultColWidth="8.83203125" defaultRowHeight="14"/>
  <cols>
    <col min="1" max="1" width="32" customWidth="1"/>
    <col min="2" max="2" width="20" customWidth="1"/>
    <col min="3" max="3" width="3" customWidth="1"/>
    <col min="4" max="4" width="29" customWidth="1"/>
    <col min="5" max="5" width="19" customWidth="1"/>
    <col min="6" max="6" width="3" customWidth="1"/>
    <col min="7" max="9" width="18" customWidth="1"/>
    <col min="10" max="13" width="15" customWidth="1"/>
  </cols>
  <sheetData>
    <row r="1" spans="1:11" ht="24" customHeight="1">
      <c r="A1" s="22" t="s">
        <v>67</v>
      </c>
      <c r="B1" s="22" t="s">
        <v>67</v>
      </c>
      <c r="C1" s="22" t="s">
        <v>67</v>
      </c>
      <c r="D1" s="22" t="s">
        <v>67</v>
      </c>
      <c r="E1" s="22" t="s">
        <v>67</v>
      </c>
      <c r="F1" s="22" t="s">
        <v>67</v>
      </c>
      <c r="G1" s="22" t="s">
        <v>67</v>
      </c>
      <c r="H1" s="22" t="s">
        <v>67</v>
      </c>
      <c r="I1" s="22" t="s">
        <v>67</v>
      </c>
      <c r="J1" s="22" t="s">
        <v>67</v>
      </c>
      <c r="K1" s="22" t="s">
        <v>67</v>
      </c>
    </row>
    <row r="2" spans="1:11" ht="24" customHeight="1">
      <c r="A2" s="22" t="s">
        <v>67</v>
      </c>
      <c r="B2" s="22" t="s">
        <v>67</v>
      </c>
      <c r="C2" s="22" t="s">
        <v>67</v>
      </c>
      <c r="D2" s="22" t="s">
        <v>67</v>
      </c>
      <c r="E2" s="22" t="s">
        <v>67</v>
      </c>
      <c r="F2" s="22" t="s">
        <v>67</v>
      </c>
      <c r="G2" s="22" t="s">
        <v>67</v>
      </c>
      <c r="H2" s="22" t="s">
        <v>67</v>
      </c>
      <c r="I2" s="22" t="s">
        <v>67</v>
      </c>
      <c r="J2" s="22" t="s">
        <v>67</v>
      </c>
      <c r="K2" s="22" t="s">
        <v>67</v>
      </c>
    </row>
    <row r="3" spans="1:11" ht="26" customHeight="1">
      <c r="A3" s="14" t="s">
        <v>68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5" spans="1:11" ht="26" customHeight="1">
      <c r="A5" s="23" t="s">
        <v>69</v>
      </c>
      <c r="B5" s="23"/>
      <c r="D5" s="23" t="s">
        <v>70</v>
      </c>
      <c r="E5" s="23"/>
    </row>
    <row r="6" spans="1:11" ht="29" customHeight="1">
      <c r="A6" s="1" t="s">
        <v>71</v>
      </c>
      <c r="B6" s="1" t="s">
        <v>72</v>
      </c>
      <c r="D6" s="1" t="s">
        <v>39</v>
      </c>
      <c r="E6" s="1" t="s">
        <v>73</v>
      </c>
    </row>
    <row r="7" spans="1:11" ht="30" customHeight="1">
      <c r="A7" s="2" t="s">
        <v>74</v>
      </c>
      <c r="B7" s="9">
        <f>COUNTA(Silver!A7:A12)</f>
        <v>6</v>
      </c>
      <c r="D7" s="2" t="s">
        <v>43</v>
      </c>
      <c r="E7" s="9">
        <f>COUNTIF(Silver!E$7:E$12,D7)</f>
        <v>3</v>
      </c>
    </row>
    <row r="8" spans="1:11" ht="30" customHeight="1">
      <c r="A8" s="2" t="s">
        <v>22</v>
      </c>
      <c r="B8" s="9">
        <f>COUNTIF(Silver!G7:G12,"completed")</f>
        <v>4</v>
      </c>
      <c r="D8" s="2" t="s">
        <v>41</v>
      </c>
      <c r="E8" s="9">
        <f>COUNTIF(Silver!E$7:E$12,D8)</f>
        <v>2</v>
      </c>
    </row>
    <row r="9" spans="1:11" ht="30" customHeight="1">
      <c r="A9" s="2" t="s">
        <v>75</v>
      </c>
      <c r="B9" s="9">
        <f>COUNTIF(Silver!G7:G12,"cancelled")</f>
        <v>1</v>
      </c>
      <c r="D9" s="2" t="s">
        <v>45</v>
      </c>
      <c r="E9" s="9">
        <f>COUNTIF(Silver!E$7:E$12,D9)</f>
        <v>1</v>
      </c>
    </row>
    <row r="10" spans="1:11" ht="30" customHeight="1">
      <c r="A10" s="2" t="s">
        <v>76</v>
      </c>
      <c r="B10" s="9">
        <f>COUNTIF(Silver!G7:G12,"no-show")</f>
        <v>1</v>
      </c>
    </row>
    <row r="11" spans="1:11" ht="30" customHeight="1">
      <c r="A11" s="11" t="s">
        <v>77</v>
      </c>
      <c r="B11" s="12">
        <f>IFERROR(B8/B7,0)</f>
        <v>0.66666666666666663</v>
      </c>
    </row>
    <row r="12" spans="1:11" ht="30" customHeight="1">
      <c r="A12" s="2" t="s">
        <v>78</v>
      </c>
      <c r="B12" s="10">
        <f>SUM(Silver!H7:H12)</f>
        <v>2550</v>
      </c>
    </row>
    <row r="13" spans="1:11" ht="30" customHeight="1">
      <c r="A13" s="2" t="s">
        <v>79</v>
      </c>
      <c r="B13" s="10">
        <f>SUMIF(Silver!D18:D23,"paid",Silver!C18:C23)</f>
        <v>1700</v>
      </c>
    </row>
    <row r="14" spans="1:11" ht="30" customHeight="1">
      <c r="A14" s="2" t="s">
        <v>80</v>
      </c>
      <c r="B14" s="10">
        <f>SUMIF(Silver!D18:D23,"pending",Silver!C18:C23)</f>
        <v>850</v>
      </c>
    </row>
    <row r="17" spans="1:5" ht="32" customHeight="1">
      <c r="A17" s="24" t="s">
        <v>81</v>
      </c>
      <c r="B17" s="24"/>
      <c r="C17" s="24"/>
      <c r="D17" s="24"/>
      <c r="E17" s="24"/>
    </row>
  </sheetData>
  <mergeCells count="5">
    <mergeCell ref="A1:K2"/>
    <mergeCell ref="A3:K3"/>
    <mergeCell ref="A5:B5"/>
    <mergeCell ref="D5:E5"/>
    <mergeCell ref="A17:E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Bronze</vt:lpstr>
      <vt:lpstr>Silver</vt:lpstr>
      <vt:lpstr>Gold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Naman Sharma</cp:lastModifiedBy>
  <dcterms:modified xsi:type="dcterms:W3CDTF">2026-10-21T02:41:28Z</dcterms:modified>
</cp:coreProperties>
</file>