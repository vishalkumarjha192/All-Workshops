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28a4becca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ointments" sheetId="1" r:id="Rfc515cd3a3a44d05"/>
    <x:sheet xmlns:r="http://schemas.openxmlformats.org/officeDocument/2006/relationships" name="Daily Trend" sheetId="2" r:id="R019aa0021cdc4874"/>
    <x:sheet xmlns:r="http://schemas.openxmlformats.org/officeDocument/2006/relationships" name="Specializations" sheetId="3" r:id="R50f413dfb59d4641"/>
    <x:sheet xmlns:r="http://schemas.openxmlformats.org/officeDocument/2006/relationships" name="Status Mix" sheetId="4" r:id="R92d05d2c8c814ddc"/>
    <x:sheet xmlns:r="http://schemas.openxmlformats.org/officeDocument/2006/relationships" name="Pivot-style Summary" sheetId="5" r:id="Rc3076d0f9831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7B75"/>
      </x:patternFill>
    </x:fill>
    <x:fill>
      <x:patternFill patternType="solid">
        <x:fgColor rgb="FFD9EFEC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ba659d0d6e4763" /><Relationship Type="http://schemas.openxmlformats.org/officeDocument/2006/relationships/theme" Target="/xl/theme/theme1.xml" Id="Rdc5d3755c9d24f65" /><Relationship Type="http://schemas.openxmlformats.org/officeDocument/2006/relationships/sharedStrings" Target="/xl/sharedStrings.xml" Id="Rc6753fdc24634e92" /><Relationship Type="http://schemas.openxmlformats.org/officeDocument/2006/relationships/worksheet" Target="/xl/worksheets/sheet1.xml" Id="Rfc515cd3a3a44d05" /><Relationship Type="http://schemas.openxmlformats.org/officeDocument/2006/relationships/worksheet" Target="/xl/worksheets/sheet2.xml" Id="R019aa0021cdc4874" /><Relationship Type="http://schemas.openxmlformats.org/officeDocument/2006/relationships/worksheet" Target="/xl/worksheets/sheet3.xml" Id="R50f413dfb59d4641" /><Relationship Type="http://schemas.openxmlformats.org/officeDocument/2006/relationships/worksheet" Target="/xl/worksheets/sheet4.xml" Id="R92d05d2c8c814ddc" /><Relationship Type="http://schemas.openxmlformats.org/officeDocument/2006/relationships/worksheet" Target="/xl/worksheets/sheet5.xml" Id="Rc3076d0f983144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6ee55286b0419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192864d1e9f40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Appointments over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appointments</c:v>
          </c:tx>
          <c:marker>
            <c:symbol val="none"/>
          </c:marker>
          <c:cat>
            <c:strRef>
              <c:f>'Daily Trend'!$A$2:$A$4</c:f>
              <c:strCache>
                <c:ptCount val="0"/>
              </c:strCache>
            </c:strRef>
          </c:cat>
          <c:val>
            <c:numRef>
              <c:f>'Daily Trend'!$B$2:$B$4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Appointments by specialization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appointments</c:v>
          </c:tx>
          <c:cat>
            <c:strRef>
              <c:f>'Specializations'!$A$2:$A$4</c:f>
              <c:strCache>
                <c:ptCount val="0"/>
              </c:strCache>
            </c:strRef>
          </c:cat>
          <c:val>
            <c:numRef>
              <c:f>'Specializations'!$B$2:$B$4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6ee55286b0419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2864d1e9f40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dd60c0560f04e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66100a8956940e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23" hidden="0" customWidth="1"/>
    <x:col min="5" max="5" width="24" hidden="0" customWidth="1"/>
    <x:col min="6" max="6" width="22" hidden="0" customWidth="1"/>
    <x:col min="7" max="7" width="18" hidden="0" customWidth="1"/>
    <x:col min="8" max="8" width="16" hidden="0" customWidth="1"/>
  </x:cols>
  <x:sheetData>
    <x:row r="1" ht="23" customHeight="1">
      <x:c r="A1" s="4" t="str">
        <x:v>appointment_id</x:v>
      </x:c>
      <x:c r="B1" s="4" t="str">
        <x:v>patient_id</x:v>
      </x:c>
      <x:c r="C1" s="4" t="str">
        <x:v>doctor_id</x:v>
      </x:c>
      <x:c r="D1" s="4" t="str">
        <x:v>doctor_name</x:v>
      </x:c>
      <x:c r="E1" s="4" t="str">
        <x:v>specialization</x:v>
      </x:c>
      <x:c r="F1" s="4" t="str">
        <x:v>appointment_date</x:v>
      </x:c>
      <x:c r="G1" s="4" t="str">
        <x:v>status</x:v>
      </x:c>
      <x:c r="H1" s="4" t="str">
        <x:v>charge</x:v>
      </x:c>
    </x:row>
    <x:row r="2" ht="23" customHeight="1">
      <x:c r="A2" t="str">
        <x:v>A101</x:v>
      </x:c>
      <x:c r="B2" t="str">
        <x:v>P01</x:v>
      </x:c>
      <x:c r="C2" t="str">
        <x:v>D02</x:v>
      </x:c>
      <x:c r="D2" t="str">
        <x:v>Dr. Kabir Sethi</x:v>
      </x:c>
      <x:c r="E2" t="str">
        <x:v>General Medicine</x:v>
      </x:c>
      <x:c r="F2" t="str">
        <x:v>2026-10-18</x:v>
      </x:c>
      <x:c r="G2" t="str">
        <x:v>completed</x:v>
      </x:c>
      <x:c r="H2" t="n">
        <x:v>500</x:v>
      </x:c>
    </x:row>
    <x:row r="3" ht="23" customHeight="1">
      <x:c r="A3" t="str">
        <x:v>A102</x:v>
      </x:c>
      <x:c r="B3" t="str">
        <x:v>P02</x:v>
      </x:c>
      <x:c r="C3" t="str">
        <x:v>D01</x:v>
      </x:c>
      <x:c r="D3" t="str">
        <x:v>Dr. Isha Mehta</x:v>
      </x:c>
      <x:c r="E3" t="str">
        <x:v>Cardiology</x:v>
      </x:c>
      <x:c r="F3" t="str">
        <x:v>2026-10-18</x:v>
      </x:c>
      <x:c r="G3" t="str">
        <x:v>cancelled</x:v>
      </x:c>
      <x:c r="H3" t="n">
        <x:v>0</x:v>
      </x:c>
    </x:row>
    <x:row r="4" ht="23" customHeight="1">
      <x:c r="A4" t="str">
        <x:v>A103</x:v>
      </x:c>
      <x:c r="B4" t="str">
        <x:v>P03</x:v>
      </x:c>
      <x:c r="C4" t="str">
        <x:v>D02</x:v>
      </x:c>
      <x:c r="D4" t="str">
        <x:v>Dr. Kabir Sethi</x:v>
      </x:c>
      <x:c r="E4" t="str">
        <x:v>General Medicine</x:v>
      </x:c>
      <x:c r="F4" t="str">
        <x:v>2026-10-19</x:v>
      </x:c>
      <x:c r="G4" t="str">
        <x:v>completed</x:v>
      </x:c>
      <x:c r="H4" t="n">
        <x:v>500</x:v>
      </x:c>
    </x:row>
    <x:row r="5" ht="23" customHeight="1">
      <x:c r="A5" t="str">
        <x:v>A104</x:v>
      </x:c>
      <x:c r="B5" t="str">
        <x:v>P04</x:v>
      </x:c>
      <x:c r="C5" t="str">
        <x:v>D03</x:v>
      </x:c>
      <x:c r="D5" t="str">
        <x:v>Dr. Riya Kapoor</x:v>
      </x:c>
      <x:c r="E5" t="str">
        <x:v>Orthopedics</x:v>
      </x:c>
      <x:c r="F5" t="str">
        <x:v>2026-10-19</x:v>
      </x:c>
      <x:c r="G5" t="str">
        <x:v>completed</x:v>
      </x:c>
      <x:c r="H5" t="n">
        <x:v>700</x:v>
      </x:c>
    </x:row>
    <x:row r="6" ht="23" customHeight="1">
      <x:c r="A6" t="str">
        <x:v>A105</x:v>
      </x:c>
      <x:c r="B6" t="str">
        <x:v>P05</x:v>
      </x:c>
      <x:c r="C6" t="str">
        <x:v>D01</x:v>
      </x:c>
      <x:c r="D6" t="str">
        <x:v>Dr. Isha Mehta</x:v>
      </x:c>
      <x:c r="E6" t="str">
        <x:v>Cardiology</x:v>
      </x:c>
      <x:c r="F6" t="str">
        <x:v>2026-10-20</x:v>
      </x:c>
      <x:c r="G6" t="str">
        <x:v>no-show</x:v>
      </x:c>
      <x:c r="H6" t="n">
        <x:v>0</x:v>
      </x:c>
    </x:row>
    <x:row r="7" ht="23" customHeight="1">
      <x:c r="A7" t="str">
        <x:v>A106</x:v>
      </x:c>
      <x:c r="B7" t="str">
        <x:v>P02</x:v>
      </x:c>
      <x:c r="C7" t="str">
        <x:v>D01</x:v>
      </x:c>
      <x:c r="D7" t="str">
        <x:v>Dr. Isha Mehta</x:v>
      </x:c>
      <x:c r="E7" t="str">
        <x:v>Cardiology</x:v>
      </x:c>
      <x:c r="F7" t="str">
        <x:v>2026-10-20</x:v>
      </x:c>
      <x:c r="G7" t="str">
        <x:v>completed</x:v>
      </x:c>
      <x:c r="H7" t="n">
        <x:v>850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1" hidden="0" customWidth="1"/>
  </x:cols>
  <x:sheetData>
    <x:row r="1" ht="23" customHeight="1">
      <x:c r="A1" s="4" t="str">
        <x:v>date</x:v>
      </x:c>
      <x:c r="B1" s="4" t="str">
        <x:v>appointments</x:v>
      </x:c>
    </x:row>
    <x:row r="2" ht="23" customHeight="1">
      <x:c r="A2" t="str">
        <x:v>2026-10-18</x:v>
      </x:c>
      <x:c r="B2" t="n">
        <x:f>COUNTIF(Appointments!F$2:F$7,A2)</x:f>
        <x:v>2</x:v>
      </x:c>
    </x:row>
    <x:row r="3" ht="23" customHeight="1">
      <x:c r="A3" t="str">
        <x:v>2026-10-19</x:v>
      </x:c>
      <x:c r="B3" t="n">
        <x:f>COUNTIF(Appointments!F$2:F$7,A3)</x:f>
        <x:v>2</x:v>
      </x:c>
    </x:row>
    <x:row r="4" ht="23" customHeight="1">
      <x:c r="A4" t="str">
        <x:v>2026-10-20</x:v>
      </x:c>
      <x:c r="B4" t="n">
        <x:f>COUNTIF(Appointments!F$2:F$7,A4)</x:f>
        <x:v>2</x:v>
      </x:c>
    </x:row>
  </x:sheetData>
  <x:pageMargins left="0.7" right="0.7" top="0.75" bottom="0.75" header="0.3" footer="0.3"/>
  <x:drawing xmlns:r="http://schemas.openxmlformats.org/officeDocument/2006/relationships" r:id="R2dd60c0560f04eca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1" hidden="0" customWidth="1"/>
  </x:cols>
  <x:sheetData>
    <x:row r="1" ht="23" customHeight="1">
      <x:c r="A1" s="4" t="str">
        <x:v>specialization</x:v>
      </x:c>
      <x:c r="B1" s="4" t="str">
        <x:v>appointments</x:v>
      </x:c>
    </x:row>
    <x:row r="2" ht="23" customHeight="1">
      <x:c r="A2" t="str">
        <x:v>Cardiology</x:v>
      </x:c>
      <x:c r="B2" t="n">
        <x:f>COUNTIF(Appointments!E$2:E$7,A2)</x:f>
        <x:v>3</x:v>
      </x:c>
    </x:row>
    <x:row r="3" ht="23" customHeight="1">
      <x:c r="A3" t="str">
        <x:v>General Medicine</x:v>
      </x:c>
      <x:c r="B3" t="n">
        <x:f>COUNTIF(Appointments!E$2:E$7,A3)</x:f>
        <x:v>2</x:v>
      </x:c>
    </x:row>
    <x:row r="4" ht="23" customHeight="1">
      <x:c r="A4" t="str">
        <x:v>Orthopedics</x:v>
      </x:c>
      <x:c r="B4" t="n">
        <x:f>COUNTIF(Appointments!E$2:E$7,A4)</x:f>
        <x:v>1</x:v>
      </x:c>
    </x:row>
  </x:sheetData>
  <x:pageMargins left="0.7" right="0.7" top="0.75" bottom="0.75" header="0.3" footer="0.3"/>
  <x:drawing xmlns:r="http://schemas.openxmlformats.org/officeDocument/2006/relationships" r:id="R566100a8956940ea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</x:cols>
  <x:sheetData>
    <x:row r="1" ht="23" customHeight="1">
      <x:c r="A1" s="4" t="str">
        <x:v>specialization</x:v>
      </x:c>
      <x:c r="B1" s="4" t="str">
        <x:v>completed</x:v>
      </x:c>
      <x:c r="C1" s="4" t="str">
        <x:v>cancelled</x:v>
      </x:c>
      <x:c r="D1" s="4" t="str">
        <x:v>no-show</x:v>
      </x:c>
      <x:c r="E1" s="4" t="str">
        <x:v>total</x:v>
      </x:c>
    </x:row>
    <x:row r="2" ht="23" customHeight="1">
      <x:c r="A2" t="str">
        <x:v>Cardiology</x:v>
      </x:c>
      <x:c r="B2" t="n">
        <x:f>COUNTIFS(Appointments!E$2:E$7,$A2,Appointments!G$2:G$7,B$1)</x:f>
        <x:v>1</x:v>
      </x:c>
      <x:c r="C2" t="n">
        <x:f>COUNTIFS(Appointments!E$2:E$7,$A2,Appointments!G$2:G$7,C$1)</x:f>
        <x:v>1</x:v>
      </x:c>
      <x:c r="D2" t="n">
        <x:f>COUNTIFS(Appointments!E$2:E$7,$A2,Appointments!G$2:G$7,D$1)</x:f>
        <x:v>1</x:v>
      </x:c>
      <x:c r="E2" t="n">
        <x:f>SUM(B2:D2)</x:f>
        <x:v>3</x:v>
      </x:c>
    </x:row>
    <x:row r="3" ht="23" customHeight="1">
      <x:c r="A3" t="str">
        <x:v>General Medicine</x:v>
      </x:c>
      <x:c r="B3" t="n">
        <x:f>COUNTIFS(Appointments!E$2:E$7,$A3,Appointments!G$2:G$7,B$1)</x:f>
        <x:v>2</x:v>
      </x:c>
      <x:c r="C3" t="n">
        <x:f>COUNTIFS(Appointments!E$2:E$7,$A3,Appointments!G$2:G$7,C$1)</x:f>
        <x:v>0</x:v>
      </x:c>
      <x:c r="D3" t="n">
        <x:f>COUNTIFS(Appointments!E$2:E$7,$A3,Appointments!G$2:G$7,D$1)</x:f>
        <x:v>0</x:v>
      </x:c>
      <x:c r="E3" t="n">
        <x:f>SUM(B3:D3)</x:f>
        <x:v>2</x:v>
      </x:c>
    </x:row>
    <x:row r="4" ht="23" customHeight="1">
      <x:c r="A4" t="str">
        <x:v>Orthopedics</x:v>
      </x:c>
      <x:c r="B4" t="n">
        <x:f>COUNTIFS(Appointments!E$2:E$7,$A4,Appointments!G$2:G$7,B$1)</x:f>
        <x:v>1</x:v>
      </x:c>
      <x:c r="C4" t="n">
        <x:f>COUNTIFS(Appointments!E$2:E$7,$A4,Appointments!G$2:G$7,C$1)</x:f>
        <x:v>0</x:v>
      </x:c>
      <x:c r="D4" t="n">
        <x:f>COUNTIFS(Appointments!E$2:E$7,$A4,Appointments!G$2:G$7,D$1)</x:f>
        <x:v>0</x:v>
      </x:c>
      <x:c r="E4" t="n">
        <x:f>SUM(B4:D4)</x:f>
        <x:v>1</x:v>
      </x:c>
    </x:row>
    <x:row r="5" ht="24" customHeight="1">
      <x:c r="A5" s="9" t="str">
        <x:v>Grand Total</x:v>
      </x:c>
      <x:c r="B5" s="9" t="n">
        <x:f>SUM(B2:B4)</x:f>
        <x:v>4</x:v>
      </x:c>
      <x:c r="C5" s="9" t="n">
        <x:f>SUM(C2:C4)</x:f>
        <x:v>1</x:v>
      </x:c>
      <x:c r="D5" s="9" t="n">
        <x:f>SUM(D2:D4)</x:f>
        <x:v>1</x:v>
      </x:c>
      <x:c r="E5" s="9" t="n">
        <x:f>SUM(E2:E4)</x:f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24" hidden="0" customWidth="1"/>
  </x:cols>
  <x:sheetData>
    <x:row r="1" ht="23" customHeight="1">
      <x:c r="A1" s="4" t="str">
        <x:v>specialization</x:v>
      </x:c>
      <x:c r="B1" s="4" t="str">
        <x:v>appointments</x:v>
      </x:c>
      <x:c r="C1" s="4" t="str">
        <x:v>completed</x:v>
      </x:c>
      <x:c r="D1" s="4" t="str">
        <x:v>completion_rate</x:v>
      </x:c>
    </x:row>
    <x:row r="2" ht="23" customHeight="1">
      <x:c r="A2" t="str">
        <x:v>Cardiology</x:v>
      </x:c>
      <x:c r="B2" t="n">
        <x:f>COUNTIF(Appointments!E$2:E$7,A2)</x:f>
        <x:v>3</x:v>
      </x:c>
      <x:c r="C2" t="n">
        <x:f>COUNTIFS(Appointments!E$2:E$7,A2,Appointments!G$2:G$7,"completed")</x:f>
        <x:v>1</x:v>
      </x:c>
      <x:c r="D2" s="12" t="n">
        <x:f>IF(B2=0,0,C2/B2)</x:f>
        <x:v>0.3333333333333333</x:v>
      </x:c>
    </x:row>
    <x:row r="3" ht="23" customHeight="1">
      <x:c r="A3" t="str">
        <x:v>General Medicine</x:v>
      </x:c>
      <x:c r="B3" t="n">
        <x:f>COUNTIF(Appointments!E$2:E$7,A3)</x:f>
        <x:v>2</x:v>
      </x:c>
      <x:c r="C3" t="n">
        <x:f>COUNTIFS(Appointments!E$2:E$7,A3,Appointments!G$2:G$7,"completed")</x:f>
        <x:v>2</x:v>
      </x:c>
      <x:c r="D3" s="12" t="n">
        <x:f>IF(B3=0,0,C3/B3)</x:f>
        <x:v>1</x:v>
      </x:c>
    </x:row>
    <x:row r="4" ht="23" customHeight="1">
      <x:c r="A4" t="str">
        <x:v>Orthopedics</x:v>
      </x:c>
      <x:c r="B4" t="n">
        <x:f>COUNTIF(Appointments!E$2:E$7,A4)</x:f>
        <x:v>1</x:v>
      </x:c>
      <x:c r="C4" t="n">
        <x:f>COUNTIFS(Appointments!E$2:E$7,A4,Appointments!G$2:G$7,"completed")</x:f>
        <x:v>1</x:v>
      </x:c>
      <x:c r="D4" s="12" t="n">
        <x:f>IF(B4=0,0,C4/B4)</x:f>
        <x:v>1</x:v>
      </x:c>
    </x:row>
  </x:sheetData>
  <x:pageMargins left="0.7" right="0.7" top="0.75" bottom="0.75" header="0.3" footer="0.3"/>
</x:worksheet>
</file>